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080" windowHeight="13185"/>
  </bookViews>
  <sheets>
    <sheet name="桃園市警察局據點" sheetId="1" r:id="rId1"/>
  </sheets>
  <definedNames>
    <definedName name="_xlnm._FilterDatabase" localSheetId="0" hidden="1">桃園市警察局據點!$A$1:$F$97</definedName>
  </definedNames>
  <calcPr calcId="144525"/>
</workbook>
</file>

<file path=xl/sharedStrings.xml><?xml version="1.0" encoding="utf-8"?>
<sst xmlns="http://schemas.openxmlformats.org/spreadsheetml/2006/main" count="193">
  <si>
    <t>properties.name</t>
  </si>
  <si>
    <t>properties.addr</t>
  </si>
  <si>
    <t>Latitude</t>
  </si>
  <si>
    <t>Longitude</t>
  </si>
  <si>
    <t>area</t>
  </si>
  <si>
    <t>type</t>
  </si>
  <si>
    <t>桃園分局</t>
  </si>
  <si>
    <t>桃園市桃園區力行路258號</t>
  </si>
  <si>
    <t>分局</t>
  </si>
  <si>
    <t>大樹派出所</t>
  </si>
  <si>
    <t>桃園市桃園區樹仁二街41號</t>
  </si>
  <si>
    <t>埔子派出所</t>
  </si>
  <si>
    <t>青溪派出所</t>
  </si>
  <si>
    <t>桃園市桃園區鎮撫街39號</t>
  </si>
  <si>
    <t>中路派出所</t>
  </si>
  <si>
    <t>桃園市桃園區中山路704號</t>
  </si>
  <si>
    <t>景福派出所</t>
  </si>
  <si>
    <t>桃園市桃園區民族路110號</t>
  </si>
  <si>
    <t>武陵派出所</t>
  </si>
  <si>
    <t>桃園市桃園區復興路135號</t>
  </si>
  <si>
    <t>同安派出所</t>
  </si>
  <si>
    <t>桃園市桃園區大興西路1段153號</t>
  </si>
  <si>
    <t>龍安派出所</t>
  </si>
  <si>
    <t>桃園市桃園區國豐一街101號</t>
  </si>
  <si>
    <t>大園分局</t>
  </si>
  <si>
    <t>桃園市大園區中正西路13號</t>
  </si>
  <si>
    <t>潮音派出所</t>
  </si>
  <si>
    <t>桃園市大園區北港里12鄰潮音北路473號</t>
  </si>
  <si>
    <t>觀音分駐所</t>
  </si>
  <si>
    <t>桃園市觀音區中山路14號</t>
  </si>
  <si>
    <t>草漯派出所</t>
  </si>
  <si>
    <t>桃園市觀音區草新里1鄰大觀路2段77號</t>
  </si>
  <si>
    <t>新坡派出所</t>
  </si>
  <si>
    <t>桃園市觀音區中山路2段668號</t>
  </si>
  <si>
    <t>竹圍派出所</t>
  </si>
  <si>
    <t>桃園市大園區竹圍街10號</t>
  </si>
  <si>
    <t>埔心派出所</t>
  </si>
  <si>
    <t>桃園市大園區埔心里埔心街1號</t>
  </si>
  <si>
    <t>大園派出所</t>
  </si>
  <si>
    <t>三果派出所</t>
  </si>
  <si>
    <t>桃園市大園區三和路25號</t>
  </si>
  <si>
    <t>蘆竹分局</t>
  </si>
  <si>
    <t>桃園市蘆竹區南崁路175巷10-2號</t>
  </si>
  <si>
    <t>南崁派出所</t>
  </si>
  <si>
    <t>桃園市蘆竹區南崁路179號</t>
  </si>
  <si>
    <t>大竹派出所</t>
  </si>
  <si>
    <t>桃園市蘆竹區大竹路540號</t>
  </si>
  <si>
    <t>南竹派出所</t>
  </si>
  <si>
    <t>桃園市蘆竹區南竹路2段97號</t>
  </si>
  <si>
    <t>外社派出所</t>
  </si>
  <si>
    <t>桃園市蘆竹區山林路2段405號</t>
  </si>
  <si>
    <t>大溪分局</t>
  </si>
  <si>
    <t>桃園市大溪區普濟路9號</t>
  </si>
  <si>
    <t>復興分駐所</t>
  </si>
  <si>
    <t>桃園市復興區中正路2號</t>
  </si>
  <si>
    <t>羅浮派出所</t>
  </si>
  <si>
    <t>桃園市復興區羅浮里3鄰3號</t>
  </si>
  <si>
    <t>榮華派出所</t>
  </si>
  <si>
    <t>桃園市復興區高義里11鄰卡義蘭2號</t>
  </si>
  <si>
    <t>巴陵派出所</t>
  </si>
  <si>
    <t>桃園市復興區華陵里9鄰44號</t>
  </si>
  <si>
    <t>奎輝派出所</t>
  </si>
  <si>
    <t>桃園市復興區奎輝里4鄰37號</t>
  </si>
  <si>
    <t>三光派出所</t>
  </si>
  <si>
    <t>桃園市復興區三光里7鄰武道能敢32號</t>
  </si>
  <si>
    <t>光華派出所</t>
  </si>
  <si>
    <t>桃園市復興區華陵里4鄰12號</t>
  </si>
  <si>
    <t>霞雲派出所</t>
  </si>
  <si>
    <t>桃園市復興區霞雲里6鄰21號</t>
  </si>
  <si>
    <t>長興派出所</t>
  </si>
  <si>
    <t>桃園市復興區長興里16鄰29號</t>
  </si>
  <si>
    <t>溪內派出所</t>
  </si>
  <si>
    <t>桃園市復興區羅浮里河流2鄰51之2號</t>
  </si>
  <si>
    <t>三元派出所</t>
  </si>
  <si>
    <t>桃園市大溪區石園路53號</t>
  </si>
  <si>
    <t>圳頂派出所</t>
  </si>
  <si>
    <t>桃園市大溪區公園路46號</t>
  </si>
  <si>
    <t>內柵派出所</t>
  </si>
  <si>
    <t>桃園市大溪區內柵路1段56號</t>
  </si>
  <si>
    <t>中新派出所</t>
  </si>
  <si>
    <t>桃園市大溪區大鶯路1479號</t>
  </si>
  <si>
    <t>百吉派出所</t>
  </si>
  <si>
    <t>桃園市大溪區復興路2段209號</t>
  </si>
  <si>
    <t>三民派出所</t>
  </si>
  <si>
    <t>桃園市復興區三民里水流東路43號</t>
  </si>
  <si>
    <t>三層派出所</t>
  </si>
  <si>
    <t>桃園市大溪區復興路一段385號</t>
  </si>
  <si>
    <t>永福派出所</t>
  </si>
  <si>
    <t>桃園市大溪區信義路1127號</t>
  </si>
  <si>
    <t>南雅派出所</t>
  </si>
  <si>
    <t>桃園市大溪區康莊路181號</t>
  </si>
  <si>
    <t>福安派出所</t>
  </si>
  <si>
    <t>桃園市大溪區復興路一段890號</t>
  </si>
  <si>
    <t>慈湖分駐所</t>
  </si>
  <si>
    <t>桃園市大溪區復興路一段1268號</t>
  </si>
  <si>
    <t>中壢分局</t>
  </si>
  <si>
    <t>桃園市中壢區延平路607號</t>
  </si>
  <si>
    <t>文化派出所</t>
  </si>
  <si>
    <t>桃園市中壢區吉林路60號</t>
  </si>
  <si>
    <t>仁愛派出所</t>
  </si>
  <si>
    <t>桃園市中壢區華美一路101號</t>
  </si>
  <si>
    <t>興國派出所</t>
  </si>
  <si>
    <t>中壢區志廣路38號</t>
  </si>
  <si>
    <t>龍興派出所</t>
  </si>
  <si>
    <t>桃園市中壢區龍勇路139號</t>
  </si>
  <si>
    <t>大崙派出所</t>
  </si>
  <si>
    <t>桃園市中壢區崇德路137號</t>
  </si>
  <si>
    <t>中福派出所</t>
  </si>
  <si>
    <t>桃園市中壢區南園二路86號</t>
  </si>
  <si>
    <t>內壢派出所</t>
  </si>
  <si>
    <t>桃園市中壢區中華路1段364號</t>
  </si>
  <si>
    <t>普仁派出所</t>
  </si>
  <si>
    <t>桃園市中壢區日新路20號</t>
  </si>
  <si>
    <t>中壢派出所</t>
  </si>
  <si>
    <t>自強派出所</t>
  </si>
  <si>
    <t>桃園市中壢區榮民路387號</t>
  </si>
  <si>
    <t>青埔派出所</t>
  </si>
  <si>
    <t>桃園市中壢區青埔路1段67號</t>
  </si>
  <si>
    <t>楊梅分局</t>
  </si>
  <si>
    <t>桃園市楊梅區中山路123號</t>
  </si>
  <si>
    <t>埔頂派出所</t>
  </si>
  <si>
    <t>桃園市新屋區中華南路2段445號</t>
  </si>
  <si>
    <t>幼獅派出所</t>
  </si>
  <si>
    <t>桃園市楊梅區幼獅路1段458號</t>
  </si>
  <si>
    <t>上湖派出所</t>
  </si>
  <si>
    <t>桃園市楊梅區楊湖路3段239號</t>
  </si>
  <si>
    <t>新屋分駐所</t>
  </si>
  <si>
    <t>桃園市新屋區中山路241號</t>
  </si>
  <si>
    <t>永安派出所</t>
  </si>
  <si>
    <t>桃園市新屋區中山西路3段62號</t>
  </si>
  <si>
    <t>大坡派出所</t>
  </si>
  <si>
    <t>桃園市新屋區大坡里三角堀94號</t>
  </si>
  <si>
    <t>富岡派出所</t>
  </si>
  <si>
    <t>桃園市楊梅區富源街22號</t>
  </si>
  <si>
    <t>草湳派出所</t>
  </si>
  <si>
    <t>桃園市楊梅區永美路237號</t>
  </si>
  <si>
    <t>楊梅派出所</t>
  </si>
  <si>
    <t>平鎮分局</t>
  </si>
  <si>
    <t>桃園市平鎮區中庸路123號</t>
  </si>
  <si>
    <t>北勢派出所</t>
  </si>
  <si>
    <t>桃園市平鎮區振平街228號</t>
  </si>
  <si>
    <t>宋屋派出所</t>
  </si>
  <si>
    <t>桃園市平鎮區延平路2段412號</t>
  </si>
  <si>
    <t>平鎮派出所</t>
  </si>
  <si>
    <t>建安派出所</t>
  </si>
  <si>
    <t>桃園市平鎮區金陵路5段108號</t>
  </si>
  <si>
    <t>龍岡派出所</t>
  </si>
  <si>
    <t>桃園市平鎮區龍南路141號</t>
  </si>
  <si>
    <t>龜山分局</t>
  </si>
  <si>
    <t>桃園市龜山區萬壽路2段931號</t>
  </si>
  <si>
    <t>龜山派出所</t>
  </si>
  <si>
    <t>大林派出所</t>
  </si>
  <si>
    <t>桃園市龜山區中興路158號</t>
  </si>
  <si>
    <t>大坑派出所</t>
  </si>
  <si>
    <t>桃園市龜山區大坑路一段851號</t>
  </si>
  <si>
    <t>大埔派出所</t>
  </si>
  <si>
    <t>桃園市龜山區文德二路80號</t>
  </si>
  <si>
    <t>迴龍派出所</t>
  </si>
  <si>
    <t>桃園市龜山區萬壽路1段117號</t>
  </si>
  <si>
    <t>大華派出所</t>
  </si>
  <si>
    <t>桃園市龜山區文化七路135號</t>
  </si>
  <si>
    <t>坪頂派出所</t>
  </si>
  <si>
    <t>桃園市龜山區大崗里大湖一路65號</t>
  </si>
  <si>
    <t>八德分局</t>
  </si>
  <si>
    <t>桃園市八德區興豐路1216號</t>
  </si>
  <si>
    <t>八德派出所</t>
  </si>
  <si>
    <t>桃園市八德區中山路23號</t>
  </si>
  <si>
    <t>廣興派出所</t>
  </si>
  <si>
    <t>桃園市八德區廣興路829號</t>
  </si>
  <si>
    <t>四維派出所</t>
  </si>
  <si>
    <t>桃園市八德區重慶街148號</t>
  </si>
  <si>
    <t>高明派出所</t>
  </si>
  <si>
    <t>桃園市八德區永豐路160號</t>
  </si>
  <si>
    <t>大安派出所</t>
  </si>
  <si>
    <t>桃園市八德區和平路頂橋巷25號</t>
  </si>
  <si>
    <t>龍潭分局</t>
  </si>
  <si>
    <t>桃園市龍潭區干城路21號</t>
  </si>
  <si>
    <t>三和派出所</t>
  </si>
  <si>
    <t>桃園市龍潭區龍新路三和段1050號</t>
  </si>
  <si>
    <t>高平派出所</t>
  </si>
  <si>
    <t>桃園市龍潭區中豐路高平段281號</t>
  </si>
  <si>
    <t>石門派出所</t>
  </si>
  <si>
    <t>桃園市龍潭區文化路230號</t>
  </si>
  <si>
    <t>中興派出所</t>
  </si>
  <si>
    <t>桃園市龍潭區武漢路45號</t>
  </si>
  <si>
    <t>龍潭派出所</t>
  </si>
  <si>
    <t>桃園市龍潭區中山里大昌路1段277號</t>
  </si>
  <si>
    <t>聖亭派出所</t>
  </si>
  <si>
    <t>桃園市政府警察局</t>
  </si>
  <si>
    <t>桃園市桃園區縣府路3號</t>
  </si>
  <si>
    <t>政府警察局</t>
  </si>
  <si>
    <t>警政大樓</t>
  </si>
  <si>
    <t>桃園市桃園區縣府路51號</t>
  </si>
</sst>
</file>

<file path=xl/styles.xml><?xml version="1.0" encoding="utf-8"?>
<styleSheet xmlns="http://schemas.openxmlformats.org/spreadsheetml/2006/main">
  <numFmts count="4">
    <numFmt numFmtId="43" formatCode="_-* #,##0.00_-;\-* #,##0.00_-;_-* &quot;-&quot;??_-;_-@_-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1" formatCode="_-* #,##0_-;\-* #,##0_-;_-* &quot;-&quot;_-;_-@_-"/>
  </numFmts>
  <fonts count="20">
    <font>
      <sz val="12"/>
      <color theme="1"/>
      <name val="新細明體"/>
      <charset val="134"/>
      <scheme val="minor"/>
    </font>
    <font>
      <i/>
      <sz val="11"/>
      <color rgb="FF7F7F7F"/>
      <name val="新細明體"/>
      <charset val="0"/>
      <scheme val="minor"/>
    </font>
    <font>
      <u/>
      <sz val="11"/>
      <color rgb="FF800080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b/>
      <sz val="18"/>
      <color theme="3"/>
      <name val="新細明體"/>
      <charset val="134"/>
      <scheme val="minor"/>
    </font>
    <font>
      <u/>
      <sz val="11"/>
      <color rgb="FF0000FF"/>
      <name val="新細明體"/>
      <charset val="0"/>
      <scheme val="minor"/>
    </font>
    <font>
      <sz val="11"/>
      <color rgb="FFFF0000"/>
      <name val="新細明體"/>
      <charset val="0"/>
      <scheme val="minor"/>
    </font>
    <font>
      <sz val="11"/>
      <color theme="0"/>
      <name val="新細明體"/>
      <charset val="0"/>
      <scheme val="minor"/>
    </font>
    <font>
      <sz val="11"/>
      <color theme="1"/>
      <name val="新細明體"/>
      <charset val="0"/>
      <scheme val="minor"/>
    </font>
    <font>
      <b/>
      <sz val="11"/>
      <color rgb="FFFA7D00"/>
      <name val="新細明體"/>
      <charset val="0"/>
      <scheme val="minor"/>
    </font>
    <font>
      <b/>
      <sz val="13"/>
      <color theme="3"/>
      <name val="新細明體"/>
      <charset val="134"/>
      <scheme val="minor"/>
    </font>
    <font>
      <sz val="11"/>
      <color rgb="FF3F3F76"/>
      <name val="新細明體"/>
      <charset val="0"/>
      <scheme val="minor"/>
    </font>
    <font>
      <b/>
      <sz val="11"/>
      <color theme="3"/>
      <name val="新細明體"/>
      <charset val="134"/>
      <scheme val="minor"/>
    </font>
    <font>
      <sz val="11"/>
      <color rgb="FFFA7D00"/>
      <name val="新細明體"/>
      <charset val="0"/>
      <scheme val="minor"/>
    </font>
    <font>
      <sz val="11"/>
      <color rgb="FF9C6500"/>
      <name val="新細明體"/>
      <charset val="0"/>
      <scheme val="minor"/>
    </font>
    <font>
      <b/>
      <sz val="11"/>
      <color rgb="FFFFFFFF"/>
      <name val="新細明體"/>
      <charset val="0"/>
      <scheme val="minor"/>
    </font>
    <font>
      <b/>
      <sz val="11"/>
      <color theme="1"/>
      <name val="新細明體"/>
      <charset val="0"/>
      <scheme val="minor"/>
    </font>
    <font>
      <b/>
      <sz val="11"/>
      <color rgb="FF3F3F3F"/>
      <name val="新細明體"/>
      <charset val="0"/>
      <scheme val="minor"/>
    </font>
    <font>
      <sz val="11"/>
      <color rgb="FF006100"/>
      <name val="新細明體"/>
      <charset val="0"/>
      <scheme val="minor"/>
    </font>
    <font>
      <sz val="11"/>
      <color rgb="FF9C0006"/>
      <name val="新細明體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2" borderId="2" applyNumberFormat="0" applyFon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1" fillId="8" borderId="3" applyNumberFormat="0" applyAlignment="0" applyProtection="0">
      <alignment vertical="center"/>
    </xf>
    <xf numFmtId="0" fontId="17" fillId="6" borderId="8" applyNumberFormat="0" applyAlignment="0" applyProtection="0">
      <alignment vertical="center"/>
    </xf>
    <xf numFmtId="0" fontId="9" fillId="6" borderId="3" applyNumberFormat="0" applyAlignment="0" applyProtection="0">
      <alignment vertical="center"/>
    </xf>
    <xf numFmtId="0" fontId="15" fillId="19" borderId="5" applyNumberFormat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F97"/>
  <sheetViews>
    <sheetView tabSelected="1" workbookViewId="0">
      <selection activeCell="G13" sqref="G13"/>
    </sheetView>
  </sheetViews>
  <sheetFormatPr defaultColWidth="9" defaultRowHeight="16.5" outlineLevelCol="5"/>
  <cols>
    <col min="1" max="1" width="18.25" customWidth="1"/>
    <col min="2" max="2" width="39.375" customWidth="1"/>
    <col min="3" max="3" width="11.5" customWidth="1"/>
    <col min="4" max="4" width="12.625" customWidth="1"/>
    <col min="5" max="5" width="13.75" customWidth="1"/>
    <col min="6" max="6" width="11.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>
        <v>25.0000839</v>
      </c>
      <c r="D2">
        <v>121.2991068</v>
      </c>
      <c r="E2" t="str">
        <f>RIGHT(LEFT(B2,FIND("區",B2)),3)</f>
        <v>桃園區</v>
      </c>
      <c r="F2" t="s">
        <v>8</v>
      </c>
    </row>
    <row r="3" spans="1:6">
      <c r="A3" t="s">
        <v>9</v>
      </c>
      <c r="B3" t="s">
        <v>10</v>
      </c>
      <c r="C3">
        <v>24.9780622</v>
      </c>
      <c r="D3">
        <v>121.3202184</v>
      </c>
      <c r="E3" t="str">
        <f t="shared" ref="E3:E34" si="0">RIGHT(LEFT(B3,FIND("區",B3)),3)</f>
        <v>桃園區</v>
      </c>
      <c r="F3" t="str">
        <f t="shared" ref="F3:F34" si="1">RIGHT(A3,3)</f>
        <v>派出所</v>
      </c>
    </row>
    <row r="4" spans="1:6">
      <c r="A4" t="s">
        <v>11</v>
      </c>
      <c r="B4" t="s">
        <v>7</v>
      </c>
      <c r="C4">
        <v>25.0001591</v>
      </c>
      <c r="D4">
        <v>121.299054</v>
      </c>
      <c r="E4" t="str">
        <f t="shared" si="0"/>
        <v>桃園區</v>
      </c>
      <c r="F4" t="str">
        <f t="shared" si="1"/>
        <v>派出所</v>
      </c>
    </row>
    <row r="5" spans="1:6">
      <c r="A5" t="s">
        <v>12</v>
      </c>
      <c r="B5" t="s">
        <v>13</v>
      </c>
      <c r="C5">
        <v>24.9980527</v>
      </c>
      <c r="D5">
        <v>121.3141825</v>
      </c>
      <c r="E5" t="str">
        <f t="shared" si="0"/>
        <v>桃園區</v>
      </c>
      <c r="F5" t="str">
        <f t="shared" si="1"/>
        <v>派出所</v>
      </c>
    </row>
    <row r="6" spans="1:6">
      <c r="A6" t="s">
        <v>14</v>
      </c>
      <c r="B6" t="s">
        <v>15</v>
      </c>
      <c r="C6">
        <v>24.99131</v>
      </c>
      <c r="D6">
        <v>121.293772</v>
      </c>
      <c r="E6" t="str">
        <f t="shared" si="0"/>
        <v>桃園區</v>
      </c>
      <c r="F6" t="str">
        <f t="shared" si="1"/>
        <v>派出所</v>
      </c>
    </row>
    <row r="7" spans="1:6">
      <c r="A7" t="s">
        <v>16</v>
      </c>
      <c r="B7" t="s">
        <v>17</v>
      </c>
      <c r="C7">
        <v>24.9926128</v>
      </c>
      <c r="D7">
        <v>121.3090392</v>
      </c>
      <c r="E7" t="str">
        <f t="shared" si="0"/>
        <v>桃園區</v>
      </c>
      <c r="F7" t="str">
        <f t="shared" si="1"/>
        <v>派出所</v>
      </c>
    </row>
    <row r="8" spans="1:6">
      <c r="A8" t="s">
        <v>18</v>
      </c>
      <c r="B8" t="s">
        <v>19</v>
      </c>
      <c r="C8">
        <v>24.9900362</v>
      </c>
      <c r="D8">
        <v>121.3121146</v>
      </c>
      <c r="E8" t="str">
        <f t="shared" si="0"/>
        <v>桃園區</v>
      </c>
      <c r="F8" t="str">
        <f t="shared" si="1"/>
        <v>派出所</v>
      </c>
    </row>
    <row r="9" spans="1:6">
      <c r="A9" t="s">
        <v>20</v>
      </c>
      <c r="B9" t="s">
        <v>21</v>
      </c>
      <c r="C9">
        <v>25.0144182</v>
      </c>
      <c r="D9">
        <v>121.3054061</v>
      </c>
      <c r="E9" t="str">
        <f t="shared" si="0"/>
        <v>桃園區</v>
      </c>
      <c r="F9" t="str">
        <f t="shared" si="1"/>
        <v>派出所</v>
      </c>
    </row>
    <row r="10" spans="1:6">
      <c r="A10" t="s">
        <v>22</v>
      </c>
      <c r="B10" t="s">
        <v>23</v>
      </c>
      <c r="C10">
        <v>24.9909892</v>
      </c>
      <c r="D10">
        <v>121.2811322</v>
      </c>
      <c r="E10" t="str">
        <f t="shared" si="0"/>
        <v>桃園區</v>
      </c>
      <c r="F10" t="str">
        <f t="shared" si="1"/>
        <v>派出所</v>
      </c>
    </row>
    <row r="11" spans="1:6">
      <c r="A11" t="s">
        <v>24</v>
      </c>
      <c r="B11" t="s">
        <v>25</v>
      </c>
      <c r="C11">
        <v>25.0634017</v>
      </c>
      <c r="D11">
        <v>121.195741</v>
      </c>
      <c r="E11" t="str">
        <f t="shared" si="0"/>
        <v>大園區</v>
      </c>
      <c r="F11" t="s">
        <v>8</v>
      </c>
    </row>
    <row r="12" spans="1:6">
      <c r="A12" t="s">
        <v>26</v>
      </c>
      <c r="B12" t="s">
        <v>27</v>
      </c>
      <c r="C12">
        <v>25.0802757</v>
      </c>
      <c r="D12">
        <v>121.1714522</v>
      </c>
      <c r="E12" t="str">
        <f t="shared" si="0"/>
        <v>大園區</v>
      </c>
      <c r="F12" t="str">
        <f t="shared" si="1"/>
        <v>派出所</v>
      </c>
    </row>
    <row r="13" spans="1:6">
      <c r="A13" t="s">
        <v>28</v>
      </c>
      <c r="B13" t="s">
        <v>29</v>
      </c>
      <c r="C13">
        <v>25.0365542</v>
      </c>
      <c r="D13">
        <v>121.0821112</v>
      </c>
      <c r="E13" t="str">
        <f t="shared" si="0"/>
        <v>觀音區</v>
      </c>
      <c r="F13" t="str">
        <f t="shared" si="1"/>
        <v>分駐所</v>
      </c>
    </row>
    <row r="14" spans="1:6">
      <c r="A14" t="s">
        <v>30</v>
      </c>
      <c r="B14" t="s">
        <v>31</v>
      </c>
      <c r="C14">
        <v>25.0471997</v>
      </c>
      <c r="D14">
        <v>121.1429548</v>
      </c>
      <c r="E14" t="str">
        <f t="shared" si="0"/>
        <v>觀音區</v>
      </c>
      <c r="F14" t="str">
        <f t="shared" si="1"/>
        <v>派出所</v>
      </c>
    </row>
    <row r="15" spans="1:6">
      <c r="A15" t="s">
        <v>32</v>
      </c>
      <c r="B15" t="s">
        <v>33</v>
      </c>
      <c r="C15">
        <v>25.0126598</v>
      </c>
      <c r="D15">
        <v>121.1362044</v>
      </c>
      <c r="E15" t="str">
        <f t="shared" si="0"/>
        <v>觀音區</v>
      </c>
      <c r="F15" t="str">
        <f t="shared" si="1"/>
        <v>派出所</v>
      </c>
    </row>
    <row r="16" spans="1:6">
      <c r="A16" t="s">
        <v>34</v>
      </c>
      <c r="B16" t="s">
        <v>35</v>
      </c>
      <c r="C16">
        <v>25.104005</v>
      </c>
      <c r="D16">
        <v>121.2438005</v>
      </c>
      <c r="E16" t="str">
        <f t="shared" si="0"/>
        <v>大園區</v>
      </c>
      <c r="F16" t="str">
        <f t="shared" si="1"/>
        <v>派出所</v>
      </c>
    </row>
    <row r="17" spans="1:6">
      <c r="A17" t="s">
        <v>36</v>
      </c>
      <c r="B17" t="s">
        <v>37</v>
      </c>
      <c r="C17">
        <v>25.0542409</v>
      </c>
      <c r="D17">
        <v>121.2244021</v>
      </c>
      <c r="E17" t="str">
        <f t="shared" si="0"/>
        <v>大園區</v>
      </c>
      <c r="F17" t="str">
        <f t="shared" si="1"/>
        <v>派出所</v>
      </c>
    </row>
    <row r="18" spans="1:6">
      <c r="A18" t="s">
        <v>38</v>
      </c>
      <c r="B18" t="s">
        <v>25</v>
      </c>
      <c r="C18">
        <v>25.0634017</v>
      </c>
      <c r="D18">
        <v>121.195741</v>
      </c>
      <c r="E18" t="str">
        <f t="shared" si="0"/>
        <v>大園區</v>
      </c>
      <c r="F18" t="str">
        <f t="shared" si="1"/>
        <v>派出所</v>
      </c>
    </row>
    <row r="19" spans="1:6">
      <c r="A19" t="s">
        <v>39</v>
      </c>
      <c r="B19" t="s">
        <v>40</v>
      </c>
      <c r="C19">
        <v>25.0732019</v>
      </c>
      <c r="D19">
        <v>121.257167</v>
      </c>
      <c r="E19" t="str">
        <f t="shared" si="0"/>
        <v>大園區</v>
      </c>
      <c r="F19" t="str">
        <f t="shared" si="1"/>
        <v>派出所</v>
      </c>
    </row>
    <row r="20" spans="1:6">
      <c r="A20" t="s">
        <v>41</v>
      </c>
      <c r="B20" t="s">
        <v>42</v>
      </c>
      <c r="C20">
        <v>25.0471507</v>
      </c>
      <c r="D20">
        <v>121.2932774</v>
      </c>
      <c r="E20" t="str">
        <f t="shared" si="0"/>
        <v>蘆竹區</v>
      </c>
      <c r="F20" t="s">
        <v>8</v>
      </c>
    </row>
    <row r="21" spans="1:6">
      <c r="A21" t="s">
        <v>43</v>
      </c>
      <c r="B21" t="s">
        <v>44</v>
      </c>
      <c r="C21">
        <v>25.0473816</v>
      </c>
      <c r="D21">
        <v>121.2936949</v>
      </c>
      <c r="E21" t="str">
        <f t="shared" si="0"/>
        <v>蘆竹區</v>
      </c>
      <c r="F21" t="str">
        <f t="shared" si="1"/>
        <v>派出所</v>
      </c>
    </row>
    <row r="22" spans="1:6">
      <c r="A22" t="s">
        <v>45</v>
      </c>
      <c r="B22" t="s">
        <v>46</v>
      </c>
      <c r="C22">
        <v>25.0241944</v>
      </c>
      <c r="D22">
        <v>121.2594456</v>
      </c>
      <c r="E22" t="str">
        <f t="shared" si="0"/>
        <v>蘆竹區</v>
      </c>
      <c r="F22" t="str">
        <f t="shared" si="1"/>
        <v>派出所</v>
      </c>
    </row>
    <row r="23" spans="1:6">
      <c r="A23" t="s">
        <v>47</v>
      </c>
      <c r="B23" t="s">
        <v>48</v>
      </c>
      <c r="C23">
        <v>25.0413486</v>
      </c>
      <c r="D23">
        <v>121.2848687</v>
      </c>
      <c r="E23" t="str">
        <f t="shared" si="0"/>
        <v>蘆竹區</v>
      </c>
      <c r="F23" t="str">
        <f t="shared" si="1"/>
        <v>派出所</v>
      </c>
    </row>
    <row r="24" spans="1:6">
      <c r="A24" t="s">
        <v>49</v>
      </c>
      <c r="B24" t="s">
        <v>50</v>
      </c>
      <c r="C24">
        <v>25.0834926</v>
      </c>
      <c r="D24">
        <v>121.3041719</v>
      </c>
      <c r="E24" t="str">
        <f t="shared" si="0"/>
        <v>蘆竹區</v>
      </c>
      <c r="F24" t="str">
        <f t="shared" si="1"/>
        <v>派出所</v>
      </c>
    </row>
    <row r="25" spans="1:6">
      <c r="A25" t="s">
        <v>51</v>
      </c>
      <c r="B25" t="s">
        <v>52</v>
      </c>
      <c r="C25">
        <v>24.8803483</v>
      </c>
      <c r="D25">
        <v>121.2871061</v>
      </c>
      <c r="E25" t="str">
        <f t="shared" si="0"/>
        <v>大溪區</v>
      </c>
      <c r="F25" t="s">
        <v>8</v>
      </c>
    </row>
    <row r="26" spans="1:6">
      <c r="A26" t="s">
        <v>53</v>
      </c>
      <c r="B26" t="s">
        <v>54</v>
      </c>
      <c r="C26">
        <v>24.814182</v>
      </c>
      <c r="D26">
        <v>121.350961</v>
      </c>
      <c r="E26" t="str">
        <f t="shared" si="0"/>
        <v>復興區</v>
      </c>
      <c r="F26" t="str">
        <f t="shared" si="1"/>
        <v>分駐所</v>
      </c>
    </row>
    <row r="27" spans="1:6">
      <c r="A27" t="s">
        <v>55</v>
      </c>
      <c r="B27" t="s">
        <v>56</v>
      </c>
      <c r="C27">
        <v>24.7975344</v>
      </c>
      <c r="D27">
        <v>121.3648552</v>
      </c>
      <c r="E27" t="str">
        <f t="shared" si="0"/>
        <v>復興區</v>
      </c>
      <c r="F27" t="str">
        <f t="shared" si="1"/>
        <v>派出所</v>
      </c>
    </row>
    <row r="28" spans="1:6">
      <c r="A28" t="s">
        <v>57</v>
      </c>
      <c r="B28" t="s">
        <v>58</v>
      </c>
      <c r="C28">
        <v>24.7391911</v>
      </c>
      <c r="D28">
        <v>121.347674</v>
      </c>
      <c r="E28" t="str">
        <f t="shared" si="0"/>
        <v>復興區</v>
      </c>
      <c r="F28" t="str">
        <f t="shared" si="1"/>
        <v>派出所</v>
      </c>
    </row>
    <row r="29" spans="1:6">
      <c r="A29" t="s">
        <v>59</v>
      </c>
      <c r="B29" t="s">
        <v>60</v>
      </c>
      <c r="C29">
        <v>24.6859473</v>
      </c>
      <c r="D29">
        <v>121.3985715</v>
      </c>
      <c r="E29" t="str">
        <f t="shared" si="0"/>
        <v>復興區</v>
      </c>
      <c r="F29" t="str">
        <f t="shared" si="1"/>
        <v>派出所</v>
      </c>
    </row>
    <row r="30" spans="1:6">
      <c r="A30" t="s">
        <v>61</v>
      </c>
      <c r="B30" t="s">
        <v>62</v>
      </c>
      <c r="C30">
        <v>24.7961044</v>
      </c>
      <c r="D30">
        <v>121.3353273</v>
      </c>
      <c r="E30" t="str">
        <f t="shared" si="0"/>
        <v>復興區</v>
      </c>
      <c r="F30" t="str">
        <f t="shared" si="1"/>
        <v>派出所</v>
      </c>
    </row>
    <row r="31" spans="1:6">
      <c r="A31" t="s">
        <v>63</v>
      </c>
      <c r="B31" t="s">
        <v>64</v>
      </c>
      <c r="C31">
        <v>24.6720607</v>
      </c>
      <c r="D31">
        <v>121.3671854</v>
      </c>
      <c r="E31" t="str">
        <f t="shared" si="0"/>
        <v>復興區</v>
      </c>
      <c r="F31" t="str">
        <f t="shared" si="1"/>
        <v>派出所</v>
      </c>
    </row>
    <row r="32" spans="1:6">
      <c r="A32" t="s">
        <v>65</v>
      </c>
      <c r="B32" t="s">
        <v>66</v>
      </c>
      <c r="C32">
        <v>24.6553641</v>
      </c>
      <c r="D32">
        <v>121.3995747</v>
      </c>
      <c r="E32" t="str">
        <f t="shared" si="0"/>
        <v>復興區</v>
      </c>
      <c r="F32" t="str">
        <f t="shared" si="1"/>
        <v>派出所</v>
      </c>
    </row>
    <row r="33" spans="1:6">
      <c r="A33" t="s">
        <v>67</v>
      </c>
      <c r="B33" t="s">
        <v>68</v>
      </c>
      <c r="C33">
        <v>24.816666</v>
      </c>
      <c r="D33">
        <v>121.3839299</v>
      </c>
      <c r="E33" t="str">
        <f t="shared" si="0"/>
        <v>復興區</v>
      </c>
      <c r="F33" t="str">
        <f t="shared" si="1"/>
        <v>派出所</v>
      </c>
    </row>
    <row r="34" spans="1:6">
      <c r="A34" t="s">
        <v>69</v>
      </c>
      <c r="B34" t="s">
        <v>70</v>
      </c>
      <c r="C34">
        <v>24.7996404</v>
      </c>
      <c r="D34">
        <v>121.3071505</v>
      </c>
      <c r="E34" t="str">
        <f t="shared" si="0"/>
        <v>復興區</v>
      </c>
      <c r="F34" t="str">
        <f t="shared" si="1"/>
        <v>派出所</v>
      </c>
    </row>
    <row r="35" spans="1:6">
      <c r="A35" t="s">
        <v>71</v>
      </c>
      <c r="B35" t="s">
        <v>72</v>
      </c>
      <c r="C35">
        <v>24.8034094</v>
      </c>
      <c r="D35">
        <v>121.3680437</v>
      </c>
      <c r="E35" t="str">
        <f t="shared" ref="E35:E66" si="2">RIGHT(LEFT(B35,FIND("區",B35)),3)</f>
        <v>復興區</v>
      </c>
      <c r="F35" t="str">
        <f t="shared" ref="F35:F66" si="3">RIGHT(A35,3)</f>
        <v>派出所</v>
      </c>
    </row>
    <row r="36" spans="1:6">
      <c r="A36" t="s">
        <v>73</v>
      </c>
      <c r="B36" t="s">
        <v>74</v>
      </c>
      <c r="C36">
        <v>24.8807248</v>
      </c>
      <c r="D36">
        <v>121.2652707</v>
      </c>
      <c r="E36" t="str">
        <f t="shared" si="2"/>
        <v>大溪區</v>
      </c>
      <c r="F36" t="str">
        <f t="shared" si="3"/>
        <v>派出所</v>
      </c>
    </row>
    <row r="37" spans="1:6">
      <c r="A37" t="s">
        <v>75</v>
      </c>
      <c r="B37" t="s">
        <v>76</v>
      </c>
      <c r="C37">
        <v>24.9048559</v>
      </c>
      <c r="D37">
        <v>121.283791</v>
      </c>
      <c r="E37" t="str">
        <f t="shared" si="2"/>
        <v>大溪區</v>
      </c>
      <c r="F37" t="str">
        <f t="shared" si="3"/>
        <v>派出所</v>
      </c>
    </row>
    <row r="38" spans="1:6">
      <c r="A38" t="s">
        <v>77</v>
      </c>
      <c r="B38" t="s">
        <v>78</v>
      </c>
      <c r="C38">
        <v>24.8593448</v>
      </c>
      <c r="D38">
        <v>121.2812329</v>
      </c>
      <c r="E38" t="str">
        <f t="shared" si="2"/>
        <v>大溪區</v>
      </c>
      <c r="F38" t="str">
        <f t="shared" si="3"/>
        <v>派出所</v>
      </c>
    </row>
    <row r="39" spans="1:6">
      <c r="A39" t="s">
        <v>79</v>
      </c>
      <c r="B39" t="s">
        <v>80</v>
      </c>
      <c r="C39">
        <v>24.9301409</v>
      </c>
      <c r="D39">
        <v>121.3183889</v>
      </c>
      <c r="E39" t="str">
        <f t="shared" si="2"/>
        <v>大溪區</v>
      </c>
      <c r="F39" t="str">
        <f t="shared" si="3"/>
        <v>派出所</v>
      </c>
    </row>
    <row r="40" spans="1:6">
      <c r="A40" t="s">
        <v>81</v>
      </c>
      <c r="B40" t="s">
        <v>82</v>
      </c>
      <c r="C40">
        <v>24.8251006</v>
      </c>
      <c r="D40">
        <v>121.3092506</v>
      </c>
      <c r="E40" t="str">
        <f t="shared" si="2"/>
        <v>大溪區</v>
      </c>
      <c r="F40" t="str">
        <f t="shared" si="3"/>
        <v>派出所</v>
      </c>
    </row>
    <row r="41" spans="1:6">
      <c r="A41" t="s">
        <v>83</v>
      </c>
      <c r="B41" t="s">
        <v>84</v>
      </c>
      <c r="C41">
        <v>24.8321426</v>
      </c>
      <c r="D41">
        <v>121.3310843</v>
      </c>
      <c r="E41" t="str">
        <f t="shared" si="2"/>
        <v>復興區</v>
      </c>
      <c r="F41" t="str">
        <f t="shared" si="3"/>
        <v>派出所</v>
      </c>
    </row>
    <row r="42" spans="1:6">
      <c r="A42" t="s">
        <v>85</v>
      </c>
      <c r="B42" t="s">
        <v>86</v>
      </c>
      <c r="C42">
        <v>24.8578485</v>
      </c>
      <c r="D42">
        <v>121.295029</v>
      </c>
      <c r="E42" t="str">
        <f t="shared" si="2"/>
        <v>大溪區</v>
      </c>
      <c r="F42" t="str">
        <f t="shared" si="3"/>
        <v>派出所</v>
      </c>
    </row>
    <row r="43" spans="1:6">
      <c r="A43" t="s">
        <v>87</v>
      </c>
      <c r="B43" t="s">
        <v>88</v>
      </c>
      <c r="C43">
        <v>24.8942399</v>
      </c>
      <c r="D43">
        <v>121.324083</v>
      </c>
      <c r="E43" t="str">
        <f t="shared" si="2"/>
        <v>大溪區</v>
      </c>
      <c r="F43" t="str">
        <f t="shared" si="3"/>
        <v>派出所</v>
      </c>
    </row>
    <row r="44" spans="1:6">
      <c r="A44" t="s">
        <v>89</v>
      </c>
      <c r="B44" t="s">
        <v>90</v>
      </c>
      <c r="C44">
        <v>24.8796775</v>
      </c>
      <c r="D44">
        <v>121.288612</v>
      </c>
      <c r="E44" t="str">
        <f t="shared" si="2"/>
        <v>大溪區</v>
      </c>
      <c r="F44" t="str">
        <f t="shared" si="3"/>
        <v>派出所</v>
      </c>
    </row>
    <row r="45" spans="1:6">
      <c r="A45" t="s">
        <v>91</v>
      </c>
      <c r="B45" t="s">
        <v>92</v>
      </c>
      <c r="C45">
        <v>24.8491756</v>
      </c>
      <c r="D45">
        <v>121.2865028</v>
      </c>
      <c r="E45" t="str">
        <f t="shared" si="2"/>
        <v>大溪區</v>
      </c>
      <c r="F45" t="str">
        <f t="shared" si="3"/>
        <v>派出所</v>
      </c>
    </row>
    <row r="46" spans="1:6">
      <c r="A46" t="s">
        <v>93</v>
      </c>
      <c r="B46" t="s">
        <v>94</v>
      </c>
      <c r="C46">
        <v>24.8398361</v>
      </c>
      <c r="D46">
        <v>121.2928555</v>
      </c>
      <c r="E46" t="str">
        <f t="shared" si="2"/>
        <v>大溪區</v>
      </c>
      <c r="F46" t="str">
        <f t="shared" si="3"/>
        <v>分駐所</v>
      </c>
    </row>
    <row r="47" spans="1:6">
      <c r="A47" t="s">
        <v>95</v>
      </c>
      <c r="B47" t="s">
        <v>96</v>
      </c>
      <c r="C47">
        <v>24.9541224</v>
      </c>
      <c r="D47">
        <v>121.2223525</v>
      </c>
      <c r="E47" t="str">
        <f t="shared" si="2"/>
        <v>中壢區</v>
      </c>
      <c r="F47" t="s">
        <v>8</v>
      </c>
    </row>
    <row r="48" spans="1:6">
      <c r="A48" t="s">
        <v>97</v>
      </c>
      <c r="B48" t="s">
        <v>98</v>
      </c>
      <c r="C48">
        <v>24.9790503</v>
      </c>
      <c r="D48">
        <v>121.2452712</v>
      </c>
      <c r="E48" t="str">
        <f t="shared" si="2"/>
        <v>中壢區</v>
      </c>
      <c r="F48" t="str">
        <f t="shared" si="3"/>
        <v>派出所</v>
      </c>
    </row>
    <row r="49" spans="1:6">
      <c r="A49" t="s">
        <v>99</v>
      </c>
      <c r="B49" t="s">
        <v>100</v>
      </c>
      <c r="C49">
        <v>24.9538299</v>
      </c>
      <c r="D49">
        <v>121.26138</v>
      </c>
      <c r="E49" t="str">
        <f t="shared" si="2"/>
        <v>中壢區</v>
      </c>
      <c r="F49" t="str">
        <f t="shared" si="3"/>
        <v>派出所</v>
      </c>
    </row>
    <row r="50" spans="1:6">
      <c r="A50" t="s">
        <v>101</v>
      </c>
      <c r="B50" t="s">
        <v>102</v>
      </c>
      <c r="C50">
        <v>24.96036</v>
      </c>
      <c r="D50">
        <v>121.20873</v>
      </c>
      <c r="E50" t="str">
        <f t="shared" si="2"/>
        <v>中壢區</v>
      </c>
      <c r="F50" t="str">
        <f t="shared" si="3"/>
        <v>派出所</v>
      </c>
    </row>
    <row r="51" spans="1:6">
      <c r="A51" t="s">
        <v>103</v>
      </c>
      <c r="B51" t="s">
        <v>104</v>
      </c>
      <c r="C51">
        <v>24.9384239</v>
      </c>
      <c r="D51">
        <v>121.2344039</v>
      </c>
      <c r="E51" t="str">
        <f t="shared" si="2"/>
        <v>中壢區</v>
      </c>
      <c r="F51" t="str">
        <f t="shared" si="3"/>
        <v>派出所</v>
      </c>
    </row>
    <row r="52" spans="1:6">
      <c r="A52" t="s">
        <v>105</v>
      </c>
      <c r="B52" t="s">
        <v>106</v>
      </c>
      <c r="C52">
        <v>24.9895794</v>
      </c>
      <c r="D52">
        <v>121.1821021</v>
      </c>
      <c r="E52" t="str">
        <f t="shared" si="2"/>
        <v>中壢區</v>
      </c>
      <c r="F52" t="str">
        <f t="shared" si="3"/>
        <v>派出所</v>
      </c>
    </row>
    <row r="53" spans="1:6">
      <c r="A53" t="s">
        <v>107</v>
      </c>
      <c r="B53" t="s">
        <v>108</v>
      </c>
      <c r="C53">
        <v>24.9718093</v>
      </c>
      <c r="D53">
        <v>121.2334572</v>
      </c>
      <c r="E53" t="str">
        <f t="shared" si="2"/>
        <v>中壢區</v>
      </c>
      <c r="F53" t="str">
        <f t="shared" si="3"/>
        <v>派出所</v>
      </c>
    </row>
    <row r="54" spans="1:6">
      <c r="A54" t="s">
        <v>109</v>
      </c>
      <c r="B54" t="s">
        <v>110</v>
      </c>
      <c r="C54">
        <v>24.972119</v>
      </c>
      <c r="D54">
        <v>121.2556332</v>
      </c>
      <c r="E54" t="str">
        <f t="shared" si="2"/>
        <v>中壢區</v>
      </c>
      <c r="F54" t="str">
        <f t="shared" si="3"/>
        <v>派出所</v>
      </c>
    </row>
    <row r="55" spans="1:6">
      <c r="A55" t="s">
        <v>111</v>
      </c>
      <c r="B55" t="s">
        <v>112</v>
      </c>
      <c r="C55">
        <v>24.9540583</v>
      </c>
      <c r="D55">
        <v>121.2386621</v>
      </c>
      <c r="E55" t="str">
        <f t="shared" si="2"/>
        <v>中壢區</v>
      </c>
      <c r="F55" t="str">
        <f t="shared" si="3"/>
        <v>派出所</v>
      </c>
    </row>
    <row r="56" spans="1:6">
      <c r="A56" t="s">
        <v>113</v>
      </c>
      <c r="B56" t="s">
        <v>96</v>
      </c>
      <c r="C56">
        <v>24.9541224</v>
      </c>
      <c r="D56">
        <v>121.2223525</v>
      </c>
      <c r="E56" t="str">
        <f t="shared" si="2"/>
        <v>中壢區</v>
      </c>
      <c r="F56" t="str">
        <f t="shared" si="3"/>
        <v>派出所</v>
      </c>
    </row>
    <row r="57" spans="1:6">
      <c r="A57" t="s">
        <v>114</v>
      </c>
      <c r="B57" t="s">
        <v>115</v>
      </c>
      <c r="C57">
        <v>24.9615289</v>
      </c>
      <c r="D57">
        <v>121.2618322</v>
      </c>
      <c r="E57" t="str">
        <f t="shared" si="2"/>
        <v>中壢區</v>
      </c>
      <c r="F57" t="str">
        <f t="shared" si="3"/>
        <v>派出所</v>
      </c>
    </row>
    <row r="58" spans="1:6">
      <c r="A58" t="s">
        <v>116</v>
      </c>
      <c r="B58" t="s">
        <v>117</v>
      </c>
      <c r="C58">
        <v>25.0138935</v>
      </c>
      <c r="D58">
        <v>121.2105349</v>
      </c>
      <c r="E58" t="str">
        <f t="shared" si="2"/>
        <v>中壢區</v>
      </c>
      <c r="F58" t="str">
        <f t="shared" si="3"/>
        <v>派出所</v>
      </c>
    </row>
    <row r="59" spans="1:6">
      <c r="A59" t="s">
        <v>118</v>
      </c>
      <c r="B59" t="s">
        <v>119</v>
      </c>
      <c r="C59">
        <v>24.9068013</v>
      </c>
      <c r="D59">
        <v>121.145824</v>
      </c>
      <c r="E59" t="str">
        <f t="shared" si="2"/>
        <v>楊梅區</v>
      </c>
      <c r="F59" t="s">
        <v>8</v>
      </c>
    </row>
    <row r="60" spans="1:6">
      <c r="A60" t="s">
        <v>120</v>
      </c>
      <c r="B60" t="s">
        <v>121</v>
      </c>
      <c r="C60">
        <v>24.9495557</v>
      </c>
      <c r="D60">
        <v>121.1186649</v>
      </c>
      <c r="E60" t="str">
        <f t="shared" si="2"/>
        <v>新屋區</v>
      </c>
      <c r="F60" t="str">
        <f t="shared" si="3"/>
        <v>派出所</v>
      </c>
    </row>
    <row r="61" spans="1:6">
      <c r="A61" t="s">
        <v>122</v>
      </c>
      <c r="B61" t="s">
        <v>123</v>
      </c>
      <c r="C61">
        <v>24.9255611</v>
      </c>
      <c r="D61">
        <v>121.1744487</v>
      </c>
      <c r="E61" t="str">
        <f t="shared" si="2"/>
        <v>楊梅區</v>
      </c>
      <c r="F61" t="str">
        <f t="shared" si="3"/>
        <v>派出所</v>
      </c>
    </row>
    <row r="62" spans="1:6">
      <c r="A62" t="s">
        <v>124</v>
      </c>
      <c r="B62" t="s">
        <v>125</v>
      </c>
      <c r="C62">
        <v>24.912721</v>
      </c>
      <c r="D62">
        <v>121.0948147</v>
      </c>
      <c r="E62" t="str">
        <f t="shared" si="2"/>
        <v>楊梅區</v>
      </c>
      <c r="F62" t="str">
        <f t="shared" si="3"/>
        <v>派出所</v>
      </c>
    </row>
    <row r="63" spans="1:6">
      <c r="A63" t="s">
        <v>126</v>
      </c>
      <c r="B63" t="s">
        <v>127</v>
      </c>
      <c r="C63">
        <v>24.9724687</v>
      </c>
      <c r="D63">
        <v>121.1064891</v>
      </c>
      <c r="E63" t="str">
        <f t="shared" si="2"/>
        <v>新屋區</v>
      </c>
      <c r="F63" t="str">
        <f t="shared" si="3"/>
        <v>分駐所</v>
      </c>
    </row>
    <row r="64" spans="1:6">
      <c r="A64" t="s">
        <v>128</v>
      </c>
      <c r="B64" t="s">
        <v>129</v>
      </c>
      <c r="C64">
        <v>24.9875375</v>
      </c>
      <c r="D64">
        <v>121.0448349</v>
      </c>
      <c r="E64" t="str">
        <f t="shared" si="2"/>
        <v>新屋區</v>
      </c>
      <c r="F64" t="str">
        <f t="shared" si="3"/>
        <v>派出所</v>
      </c>
    </row>
    <row r="65" spans="1:6">
      <c r="A65" t="s">
        <v>130</v>
      </c>
      <c r="B65" t="s">
        <v>131</v>
      </c>
      <c r="C65">
        <v>24.9590618</v>
      </c>
      <c r="D65">
        <v>121.0385226</v>
      </c>
      <c r="E65" t="str">
        <f t="shared" si="2"/>
        <v>新屋區</v>
      </c>
      <c r="F65" t="str">
        <f t="shared" si="3"/>
        <v>派出所</v>
      </c>
    </row>
    <row r="66" spans="1:6">
      <c r="A66" t="s">
        <v>132</v>
      </c>
      <c r="B66" t="s">
        <v>133</v>
      </c>
      <c r="C66">
        <v>24.9355439</v>
      </c>
      <c r="D66">
        <v>121.0819093</v>
      </c>
      <c r="E66" t="str">
        <f t="shared" si="2"/>
        <v>楊梅區</v>
      </c>
      <c r="F66" t="str">
        <f t="shared" si="3"/>
        <v>派出所</v>
      </c>
    </row>
    <row r="67" spans="1:6">
      <c r="A67" t="s">
        <v>134</v>
      </c>
      <c r="B67" t="s">
        <v>135</v>
      </c>
      <c r="C67">
        <v>24.9186968</v>
      </c>
      <c r="D67">
        <v>121.1835439</v>
      </c>
      <c r="E67" t="str">
        <f t="shared" ref="E67:E97" si="4">RIGHT(LEFT(B67,FIND("區",B67)),3)</f>
        <v>楊梅區</v>
      </c>
      <c r="F67" t="str">
        <f t="shared" ref="F67:F97" si="5">RIGHT(A67,3)</f>
        <v>派出所</v>
      </c>
    </row>
    <row r="68" spans="1:6">
      <c r="A68" t="s">
        <v>136</v>
      </c>
      <c r="B68" t="s">
        <v>119</v>
      </c>
      <c r="C68">
        <v>24.9068269</v>
      </c>
      <c r="D68">
        <v>121.1459165</v>
      </c>
      <c r="E68" t="str">
        <f t="shared" si="4"/>
        <v>楊梅區</v>
      </c>
      <c r="F68" t="str">
        <f t="shared" si="5"/>
        <v>派出所</v>
      </c>
    </row>
    <row r="69" spans="1:6">
      <c r="A69" t="s">
        <v>137</v>
      </c>
      <c r="B69" t="s">
        <v>138</v>
      </c>
      <c r="C69">
        <v>24.9131511</v>
      </c>
      <c r="D69">
        <v>121.2075109</v>
      </c>
      <c r="E69" t="str">
        <f t="shared" si="4"/>
        <v>平鎮區</v>
      </c>
      <c r="F69" t="s">
        <v>8</v>
      </c>
    </row>
    <row r="70" spans="1:6">
      <c r="A70" t="s">
        <v>139</v>
      </c>
      <c r="B70" t="s">
        <v>140</v>
      </c>
      <c r="C70">
        <v>24.9419408</v>
      </c>
      <c r="D70">
        <v>121.22089</v>
      </c>
      <c r="E70" t="str">
        <f t="shared" si="4"/>
        <v>平鎮區</v>
      </c>
      <c r="F70" t="str">
        <f t="shared" si="5"/>
        <v>派出所</v>
      </c>
    </row>
    <row r="71" spans="1:6">
      <c r="A71" t="s">
        <v>141</v>
      </c>
      <c r="B71" t="s">
        <v>142</v>
      </c>
      <c r="C71">
        <v>24.9426132</v>
      </c>
      <c r="D71">
        <v>121.2062592</v>
      </c>
      <c r="E71" t="str">
        <f t="shared" si="4"/>
        <v>平鎮區</v>
      </c>
      <c r="F71" t="str">
        <f t="shared" si="5"/>
        <v>派出所</v>
      </c>
    </row>
    <row r="72" spans="1:6">
      <c r="A72" t="s">
        <v>143</v>
      </c>
      <c r="B72" t="s">
        <v>138</v>
      </c>
      <c r="C72">
        <v>24.9131511</v>
      </c>
      <c r="D72">
        <v>121.2075109</v>
      </c>
      <c r="E72" t="str">
        <f t="shared" si="4"/>
        <v>平鎮區</v>
      </c>
      <c r="F72" t="str">
        <f t="shared" si="5"/>
        <v>派出所</v>
      </c>
    </row>
    <row r="73" spans="1:6">
      <c r="A73" t="s">
        <v>144</v>
      </c>
      <c r="B73" t="s">
        <v>145</v>
      </c>
      <c r="C73">
        <v>24.909153</v>
      </c>
      <c r="D73">
        <v>121.2311813</v>
      </c>
      <c r="E73" t="str">
        <f t="shared" si="4"/>
        <v>平鎮區</v>
      </c>
      <c r="F73" t="str">
        <f t="shared" si="5"/>
        <v>派出所</v>
      </c>
    </row>
    <row r="74" spans="1:6">
      <c r="A74" t="s">
        <v>146</v>
      </c>
      <c r="B74" t="s">
        <v>147</v>
      </c>
      <c r="C74">
        <v>24.9238781</v>
      </c>
      <c r="D74">
        <v>121.2473221</v>
      </c>
      <c r="E74" t="str">
        <f t="shared" si="4"/>
        <v>平鎮區</v>
      </c>
      <c r="F74" t="str">
        <f t="shared" si="5"/>
        <v>派出所</v>
      </c>
    </row>
    <row r="75" spans="1:6">
      <c r="A75" t="s">
        <v>148</v>
      </c>
      <c r="B75" t="s">
        <v>149</v>
      </c>
      <c r="C75">
        <v>24.9952636</v>
      </c>
      <c r="D75">
        <v>121.3386469</v>
      </c>
      <c r="E75" t="str">
        <f t="shared" si="4"/>
        <v>龜山區</v>
      </c>
      <c r="F75" t="s">
        <v>8</v>
      </c>
    </row>
    <row r="76" spans="1:6">
      <c r="A76" t="s">
        <v>150</v>
      </c>
      <c r="B76" t="s">
        <v>149</v>
      </c>
      <c r="C76">
        <v>24.9952636</v>
      </c>
      <c r="D76">
        <v>121.3386469</v>
      </c>
      <c r="E76" t="str">
        <f t="shared" si="4"/>
        <v>龜山區</v>
      </c>
      <c r="F76" t="str">
        <f t="shared" si="5"/>
        <v>派出所</v>
      </c>
    </row>
    <row r="77" spans="1:6">
      <c r="A77" t="s">
        <v>151</v>
      </c>
      <c r="B77" t="s">
        <v>152</v>
      </c>
      <c r="C77">
        <v>24.9890196</v>
      </c>
      <c r="D77">
        <v>121.3322449</v>
      </c>
      <c r="E77" t="str">
        <f t="shared" si="4"/>
        <v>龜山區</v>
      </c>
      <c r="F77" t="str">
        <f t="shared" si="5"/>
        <v>派出所</v>
      </c>
    </row>
    <row r="78" spans="1:6">
      <c r="A78" t="s">
        <v>153</v>
      </c>
      <c r="B78" t="s">
        <v>154</v>
      </c>
      <c r="C78">
        <v>25.0453057</v>
      </c>
      <c r="D78">
        <v>121.31464</v>
      </c>
      <c r="E78" t="str">
        <f t="shared" si="4"/>
        <v>龜山區</v>
      </c>
      <c r="F78" t="str">
        <f t="shared" si="5"/>
        <v>派出所</v>
      </c>
    </row>
    <row r="79" spans="1:6">
      <c r="A79" t="s">
        <v>155</v>
      </c>
      <c r="B79" t="s">
        <v>156</v>
      </c>
      <c r="C79">
        <v>25.0533717</v>
      </c>
      <c r="D79">
        <v>121.3816201</v>
      </c>
      <c r="E79" t="str">
        <f t="shared" si="4"/>
        <v>龜山區</v>
      </c>
      <c r="F79" t="str">
        <f t="shared" si="5"/>
        <v>派出所</v>
      </c>
    </row>
    <row r="80" spans="1:6">
      <c r="A80" t="s">
        <v>157</v>
      </c>
      <c r="B80" t="s">
        <v>158</v>
      </c>
      <c r="C80">
        <v>25.0188104</v>
      </c>
      <c r="D80">
        <v>121.4086217</v>
      </c>
      <c r="E80" t="str">
        <f t="shared" si="4"/>
        <v>龜山區</v>
      </c>
      <c r="F80" t="str">
        <f t="shared" si="5"/>
        <v>派出所</v>
      </c>
    </row>
    <row r="81" spans="1:6">
      <c r="A81" t="s">
        <v>159</v>
      </c>
      <c r="B81" t="s">
        <v>160</v>
      </c>
      <c r="C81">
        <v>25.0517338</v>
      </c>
      <c r="D81">
        <v>121.3652284</v>
      </c>
      <c r="E81" t="str">
        <f t="shared" si="4"/>
        <v>龜山區</v>
      </c>
      <c r="F81" t="str">
        <f t="shared" si="5"/>
        <v>派出所</v>
      </c>
    </row>
    <row r="82" spans="1:6">
      <c r="A82" t="s">
        <v>161</v>
      </c>
      <c r="B82" t="s">
        <v>162</v>
      </c>
      <c r="C82">
        <v>25.0555205</v>
      </c>
      <c r="D82">
        <v>121.356967</v>
      </c>
      <c r="E82" t="str">
        <f t="shared" si="4"/>
        <v>龜山區</v>
      </c>
      <c r="F82" t="str">
        <f t="shared" si="5"/>
        <v>派出所</v>
      </c>
    </row>
    <row r="83" spans="1:6">
      <c r="A83" t="s">
        <v>163</v>
      </c>
      <c r="B83" t="s">
        <v>164</v>
      </c>
      <c r="C83">
        <v>24.9382949</v>
      </c>
      <c r="D83">
        <v>121.3086214</v>
      </c>
      <c r="E83" t="str">
        <f t="shared" si="4"/>
        <v>八德區</v>
      </c>
      <c r="F83" t="s">
        <v>8</v>
      </c>
    </row>
    <row r="84" spans="1:6">
      <c r="A84" t="s">
        <v>165</v>
      </c>
      <c r="B84" t="s">
        <v>166</v>
      </c>
      <c r="C84">
        <v>24.9295865</v>
      </c>
      <c r="D84">
        <v>121.2848205</v>
      </c>
      <c r="E84" t="str">
        <f t="shared" si="4"/>
        <v>八德區</v>
      </c>
      <c r="F84" t="str">
        <f t="shared" si="5"/>
        <v>派出所</v>
      </c>
    </row>
    <row r="85" spans="1:6">
      <c r="A85" t="s">
        <v>167</v>
      </c>
      <c r="B85" t="s">
        <v>168</v>
      </c>
      <c r="C85">
        <v>24.9501101</v>
      </c>
      <c r="D85">
        <v>121.2838266</v>
      </c>
      <c r="E85" t="str">
        <f t="shared" si="4"/>
        <v>八德區</v>
      </c>
      <c r="F85" t="str">
        <f t="shared" si="5"/>
        <v>派出所</v>
      </c>
    </row>
    <row r="86" spans="1:6">
      <c r="A86" t="s">
        <v>169</v>
      </c>
      <c r="B86" t="s">
        <v>170</v>
      </c>
      <c r="C86">
        <v>24.9559603</v>
      </c>
      <c r="D86">
        <v>121.3027551</v>
      </c>
      <c r="E86" t="str">
        <f t="shared" si="4"/>
        <v>八德區</v>
      </c>
      <c r="F86" t="str">
        <f t="shared" si="5"/>
        <v>派出所</v>
      </c>
    </row>
    <row r="87" spans="1:6">
      <c r="A87" t="s">
        <v>171</v>
      </c>
      <c r="B87" t="s">
        <v>172</v>
      </c>
      <c r="C87">
        <v>24.9647974</v>
      </c>
      <c r="D87">
        <v>121.2787061</v>
      </c>
      <c r="E87" t="str">
        <f t="shared" si="4"/>
        <v>八德區</v>
      </c>
      <c r="F87" t="str">
        <f t="shared" si="5"/>
        <v>派出所</v>
      </c>
    </row>
    <row r="88" spans="1:6">
      <c r="A88" t="s">
        <v>173</v>
      </c>
      <c r="B88" t="s">
        <v>174</v>
      </c>
      <c r="C88">
        <v>24.970419</v>
      </c>
      <c r="D88">
        <v>121.3248208</v>
      </c>
      <c r="E88" t="str">
        <f t="shared" si="4"/>
        <v>八德區</v>
      </c>
      <c r="F88" t="str">
        <f t="shared" si="5"/>
        <v>派出所</v>
      </c>
    </row>
    <row r="89" spans="1:6">
      <c r="A89" t="s">
        <v>175</v>
      </c>
      <c r="B89" t="s">
        <v>176</v>
      </c>
      <c r="C89">
        <v>24.8686221</v>
      </c>
      <c r="D89">
        <v>121.2076131</v>
      </c>
      <c r="E89" t="str">
        <f t="shared" si="4"/>
        <v>龍潭區</v>
      </c>
      <c r="F89" t="s">
        <v>8</v>
      </c>
    </row>
    <row r="90" spans="1:6">
      <c r="A90" t="s">
        <v>177</v>
      </c>
      <c r="B90" t="s">
        <v>178</v>
      </c>
      <c r="C90">
        <v>24.8504029</v>
      </c>
      <c r="D90">
        <v>121.1750467</v>
      </c>
      <c r="E90" t="str">
        <f t="shared" si="4"/>
        <v>龍潭區</v>
      </c>
      <c r="F90" t="str">
        <f t="shared" si="5"/>
        <v>派出所</v>
      </c>
    </row>
    <row r="91" spans="1:6">
      <c r="A91" t="s">
        <v>179</v>
      </c>
      <c r="B91" t="s">
        <v>180</v>
      </c>
      <c r="C91">
        <v>24.8358128</v>
      </c>
      <c r="D91">
        <v>121.2069125</v>
      </c>
      <c r="E91" t="str">
        <f t="shared" si="4"/>
        <v>龍潭區</v>
      </c>
      <c r="F91" t="str">
        <f t="shared" si="5"/>
        <v>派出所</v>
      </c>
    </row>
    <row r="92" spans="1:6">
      <c r="A92" t="s">
        <v>181</v>
      </c>
      <c r="B92" t="s">
        <v>182</v>
      </c>
      <c r="C92">
        <v>24.842766</v>
      </c>
      <c r="D92">
        <v>121.2413061</v>
      </c>
      <c r="E92" t="str">
        <f t="shared" si="4"/>
        <v>龍潭區</v>
      </c>
      <c r="F92" t="str">
        <f t="shared" si="5"/>
        <v>派出所</v>
      </c>
    </row>
    <row r="93" spans="1:6">
      <c r="A93" t="s">
        <v>183</v>
      </c>
      <c r="B93" t="s">
        <v>184</v>
      </c>
      <c r="C93">
        <v>24.8726634</v>
      </c>
      <c r="D93">
        <v>121.2343375</v>
      </c>
      <c r="E93" t="str">
        <f t="shared" si="4"/>
        <v>龍潭區</v>
      </c>
      <c r="F93" t="str">
        <f t="shared" si="5"/>
        <v>派出所</v>
      </c>
    </row>
    <row r="94" spans="1:6">
      <c r="A94" t="s">
        <v>185</v>
      </c>
      <c r="B94" t="s">
        <v>186</v>
      </c>
      <c r="C94">
        <v>24.8701615</v>
      </c>
      <c r="D94">
        <v>121.2203651</v>
      </c>
      <c r="E94" t="str">
        <f t="shared" si="4"/>
        <v>龍潭區</v>
      </c>
      <c r="F94" t="str">
        <f t="shared" si="5"/>
        <v>派出所</v>
      </c>
    </row>
    <row r="95" spans="1:6">
      <c r="A95" t="s">
        <v>187</v>
      </c>
      <c r="B95" t="s">
        <v>176</v>
      </c>
      <c r="C95">
        <v>24.8686099</v>
      </c>
      <c r="D95">
        <v>121.20766</v>
      </c>
      <c r="E95" t="str">
        <f t="shared" si="4"/>
        <v>龍潭區</v>
      </c>
      <c r="F95" t="str">
        <f t="shared" si="5"/>
        <v>派出所</v>
      </c>
    </row>
    <row r="96" spans="1:6">
      <c r="A96" t="s">
        <v>188</v>
      </c>
      <c r="B96" t="s">
        <v>189</v>
      </c>
      <c r="C96">
        <v>24.9930441</v>
      </c>
      <c r="D96">
        <v>121.3019076</v>
      </c>
      <c r="E96" t="str">
        <f t="shared" si="4"/>
        <v>桃園區</v>
      </c>
      <c r="F96" t="s">
        <v>190</v>
      </c>
    </row>
    <row r="97" spans="1:6">
      <c r="A97" t="s">
        <v>191</v>
      </c>
      <c r="B97" t="s">
        <v>192</v>
      </c>
      <c r="C97">
        <v>24.9933622</v>
      </c>
      <c r="D97">
        <v>121.2997995</v>
      </c>
      <c r="E97" t="str">
        <f t="shared" si="4"/>
        <v>桃園區</v>
      </c>
      <c r="F97" t="s">
        <v>191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桃園市警察局據點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2024-01-07T18:26:45Z</dcterms:created>
  <dcterms:modified xsi:type="dcterms:W3CDTF">2024-01-07T19:34:47Z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1028-10.8.0.6003</vt:lpwstr>
  </property>
</Properties>
</file>